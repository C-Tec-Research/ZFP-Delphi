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60" windowWidth="23955" windowHeight="1374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A4" i="1" l="1"/>
  <c r="A7" i="1"/>
  <c r="A8" i="1"/>
  <c r="A11" i="1"/>
  <c r="A14" i="1"/>
  <c r="A17" i="1"/>
  <c r="A20" i="1" l="1"/>
  <c r="A21" i="1" s="1"/>
  <c r="A22" i="1" s="1"/>
  <c r="A23" i="1" s="1"/>
  <c r="A24" i="1" s="1"/>
  <c r="A25" i="1" s="1"/>
  <c r="A26" i="1" s="1"/>
</calcChain>
</file>

<file path=xl/sharedStrings.xml><?xml version="1.0" encoding="utf-8"?>
<sst xmlns="http://schemas.openxmlformats.org/spreadsheetml/2006/main" count="100" uniqueCount="89">
  <si>
    <t>Panel View</t>
  </si>
  <si>
    <t>Client</t>
  </si>
  <si>
    <t>Network View</t>
  </si>
  <si>
    <t>Overview</t>
  </si>
  <si>
    <t>Modes</t>
  </si>
  <si>
    <t>Output Groups</t>
  </si>
  <si>
    <t>Security</t>
  </si>
  <si>
    <t>Keyswitch entry only</t>
  </si>
  <si>
    <t>Name</t>
  </si>
  <si>
    <t>Retrieve All Data</t>
  </si>
  <si>
    <t>Retrieve Device Data</t>
  </si>
  <si>
    <t xml:space="preserve">Panel Maintenance </t>
  </si>
  <si>
    <t>Editing</t>
  </si>
  <si>
    <t>Show Errors</t>
  </si>
  <si>
    <t>Help</t>
  </si>
  <si>
    <t>4</t>
  </si>
  <si>
    <t>12.1</t>
  </si>
  <si>
    <t>13.1</t>
  </si>
  <si>
    <t>14.1</t>
  </si>
  <si>
    <t>14.5</t>
  </si>
  <si>
    <t>15.1</t>
  </si>
  <si>
    <t>15.3</t>
  </si>
  <si>
    <t>15.4</t>
  </si>
  <si>
    <t>15.5.4.2</t>
  </si>
  <si>
    <t>15.5.5.1</t>
  </si>
  <si>
    <t>15.6.3</t>
  </si>
  <si>
    <t>18.1</t>
  </si>
  <si>
    <t>Path Reference</t>
  </si>
  <si>
    <t>Problem Discription</t>
  </si>
  <si>
    <t>Where should this be seen on the ZFP?</t>
  </si>
  <si>
    <t>Put the panel into keyswitch access only. Then mess up  Device View:Devices:System. Including removing keyswitch</t>
  </si>
  <si>
    <t>Panel</t>
  </si>
  <si>
    <t>Contains tonne's of errors. Meaningless unless your the programmer.</t>
  </si>
  <si>
    <t>Doesn't work. Only imports one loop and then duplicates it everywhere.</t>
  </si>
  <si>
    <t>If you do an unchecked clean start twice. You cannot do a checked clean start, as the panel restarts</t>
  </si>
  <si>
    <t xml:space="preserve">If you don't manually tell the reader how many loops there are, it will default to 1. </t>
  </si>
  <si>
    <t>Delete</t>
  </si>
  <si>
    <t>16.2.2.5</t>
  </si>
  <si>
    <t xml:space="preserve">Could do with the delete button working aswell. </t>
  </si>
  <si>
    <t>Issues relating to the Panel</t>
  </si>
  <si>
    <t>If you do an unchecked clean start, then the button is no longer password protected (32767) if you do it again. Believe is assosiated with above</t>
  </si>
  <si>
    <t>Path Level 1</t>
  </si>
  <si>
    <t>Path Level 2</t>
  </si>
  <si>
    <t>Path Level 3</t>
  </si>
  <si>
    <t>Path Level 4</t>
  </si>
  <si>
    <t>Panel General</t>
  </si>
  <si>
    <t>The 'Menu' button doesn't really work very well. Intermittant in some menus.</t>
  </si>
  <si>
    <t>When data from the panel is read for the first time, the node view shows 0 nodes (even though they exist and are shown in node count)</t>
  </si>
  <si>
    <t>14.1.2</t>
  </si>
  <si>
    <t>Where used</t>
  </si>
  <si>
    <t>14.5.2</t>
  </si>
  <si>
    <t>Would it be possible to set this up so that if there is a Fault, it will put up a string. I.e. Call "Servicing Company" on 01234 567891</t>
  </si>
  <si>
    <t>Maybe a message would be useful when it is blank so that users don't get confused.</t>
  </si>
  <si>
    <t xml:space="preserve">All that the help file contains is version information. Remember to include manuals in a later versions when Rob gets them finished. </t>
  </si>
  <si>
    <t xml:space="preserve">The picture is a good idea. But isn't representative of what a C-Tec ZFP looks like. Would look much cooler if it looked more like the </t>
  </si>
  <si>
    <t>Ref #</t>
  </si>
  <si>
    <t>If you delete an output group and then Send All Data, it messes up the panel</t>
  </si>
  <si>
    <t>Panel Data</t>
  </si>
  <si>
    <t>Retrieve all data</t>
  </si>
  <si>
    <t>Clicking this button causes an access violation error</t>
  </si>
  <si>
    <t>Ants Comments</t>
  </si>
  <si>
    <t>hmmmmm</t>
  </si>
  <si>
    <t>Address box should limit to 4 lines</t>
  </si>
  <si>
    <t>maybe Dave can call up a bitmap?</t>
  </si>
  <si>
    <t>page refresh problem?</t>
  </si>
  <si>
    <t>agreed, data link problem</t>
  </si>
  <si>
    <t>????</t>
  </si>
  <si>
    <t>?????</t>
  </si>
  <si>
    <t>Ants Notes</t>
  </si>
  <si>
    <t>? (refresh problem)</t>
  </si>
  <si>
    <t>same as above</t>
  </si>
  <si>
    <t>&amp; Installer</t>
  </si>
  <si>
    <t>Steve: That's how it is</t>
  </si>
  <si>
    <t>&amp; Show Warnings</t>
  </si>
  <si>
    <t>&amp; Show Hints</t>
  </si>
  <si>
    <t>Modes &amp; Zones</t>
  </si>
  <si>
    <t>Detectors, Manual Call points, I/O, Faults</t>
  </si>
  <si>
    <t>Dan's ZFP Tool Test. 14/8/2012</t>
  </si>
  <si>
    <t>Correct Panel names don't get shown here. Refresh problem</t>
  </si>
  <si>
    <t>Refresh Problems</t>
  </si>
  <si>
    <t>If you have keyswitch access only, why do you need an AL2 code. Also, could you have keyswitch access only for AL3 (AL2 with normal '3333' access)</t>
  </si>
  <si>
    <t>Print does different things, depending on where you are we need to figure out what we want printing, so that we can let Dave know.</t>
  </si>
  <si>
    <t>Box doesn't need to be anywhere near as large. Implies largest address on earth. Ant: Dave wants to know definitivly what it should be limited to incase of long addresses</t>
  </si>
  <si>
    <t>MCP Qualifies Dependencies: Look @ name.</t>
  </si>
  <si>
    <t>Very High</t>
  </si>
  <si>
    <t>Medium</t>
  </si>
  <si>
    <t>High</t>
  </si>
  <si>
    <t>Refresh errors are present when changing Network view, overview and panel names</t>
  </si>
  <si>
    <t>Cannot enter anything over 14 characters. Maybe too short for decent descriptive name. Ant: Dave want to know what strings need to be bigger. Just let him know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</si>
</sst>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6" borderId="0" applyNumberFormat="0" applyBorder="0" applyAlignment="0" applyProtection="0"/>
  </cellStyleXfs>
  <cellXfs count="14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4" borderId="0" xfId="0" applyFill="1"/>
    <xf numFmtId="0" fontId="0" fillId="4" borderId="0" xfId="0" applyFont="1" applyFill="1"/>
    <xf numFmtId="0" fontId="0" fillId="3" borderId="0" xfId="0" applyFont="1" applyFill="1"/>
    <xf numFmtId="0" fontId="0" fillId="5" borderId="0" xfId="0" applyFont="1" applyFill="1"/>
    <xf numFmtId="0" fontId="1" fillId="0" borderId="0" xfId="0" applyFont="1"/>
    <xf numFmtId="0" fontId="0" fillId="5" borderId="0" xfId="0" applyFill="1"/>
    <xf numFmtId="0" fontId="0" fillId="3" borderId="0" xfId="0" applyFill="1"/>
    <xf numFmtId="0" fontId="2" fillId="0" borderId="0" xfId="0" applyFont="1"/>
    <xf numFmtId="0" fontId="4" fillId="0" borderId="0" xfId="0" applyFont="1"/>
    <xf numFmtId="0" fontId="5" fillId="6" borderId="0" xfId="1"/>
    <xf numFmtId="0" fontId="3" fillId="0" borderId="0" xfId="0" applyFont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colors>
    <mruColors>
      <color rgb="FFFF9933"/>
      <color rgb="FFFFFF00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1"/>
  <sheetViews>
    <sheetView tabSelected="1" topLeftCell="A2" zoomScale="85" zoomScaleNormal="85" workbookViewId="0">
      <pane ySplit="495" activePane="bottomLeft"/>
      <selection activeCell="B2" sqref="B1:B1048576"/>
      <selection pane="bottomLeft" activeCell="A8" sqref="A8"/>
    </sheetView>
  </sheetViews>
  <sheetFormatPr defaultRowHeight="15" x14ac:dyDescent="0.25"/>
  <cols>
    <col min="1" max="1" width="5.140625" customWidth="1"/>
    <col min="2" max="2" width="14.5703125" style="1" customWidth="1"/>
    <col min="3" max="3" width="14.42578125" style="7" bestFit="1" customWidth="1"/>
    <col min="4" max="4" width="22.140625" style="7" bestFit="1" customWidth="1"/>
    <col min="5" max="5" width="15.140625" style="7" bestFit="1" customWidth="1"/>
    <col min="6" max="6" width="30.42578125" style="7" bestFit="1" customWidth="1"/>
    <col min="7" max="7" width="158" bestFit="1" customWidth="1"/>
    <col min="8" max="8" width="39.42578125" bestFit="1" customWidth="1"/>
  </cols>
  <sheetData>
    <row r="1" spans="1:9" ht="46.5" x14ac:dyDescent="0.7">
      <c r="A1" s="13" t="s">
        <v>77</v>
      </c>
      <c r="B1" s="13"/>
      <c r="C1" s="13"/>
      <c r="D1" s="13"/>
      <c r="E1" s="13"/>
      <c r="F1" s="13"/>
      <c r="G1" s="13"/>
      <c r="H1" s="13"/>
    </row>
    <row r="2" spans="1:9" x14ac:dyDescent="0.25">
      <c r="A2" t="s">
        <v>55</v>
      </c>
      <c r="B2" s="1" t="s">
        <v>27</v>
      </c>
      <c r="C2" s="7" t="s">
        <v>41</v>
      </c>
      <c r="D2" s="7" t="s">
        <v>42</v>
      </c>
      <c r="E2" s="7" t="s">
        <v>43</v>
      </c>
      <c r="F2" s="7" t="s">
        <v>44</v>
      </c>
      <c r="G2" t="s">
        <v>28</v>
      </c>
      <c r="H2" s="11" t="s">
        <v>60</v>
      </c>
    </row>
    <row r="3" spans="1:9" x14ac:dyDescent="0.25">
      <c r="A3">
        <v>2</v>
      </c>
      <c r="B3" s="1" t="s">
        <v>15</v>
      </c>
      <c r="C3" s="7" t="s">
        <v>14</v>
      </c>
      <c r="G3" s="6" t="s">
        <v>53</v>
      </c>
      <c r="H3" t="s">
        <v>61</v>
      </c>
    </row>
    <row r="4" spans="1:9" x14ac:dyDescent="0.25">
      <c r="A4">
        <f t="shared" ref="A4" si="0">A3+1</f>
        <v>3</v>
      </c>
      <c r="B4" s="1" t="s">
        <v>16</v>
      </c>
      <c r="D4" s="7" t="s">
        <v>1</v>
      </c>
      <c r="E4" s="7" t="s">
        <v>71</v>
      </c>
      <c r="G4" s="8" t="s">
        <v>82</v>
      </c>
      <c r="H4" t="s">
        <v>62</v>
      </c>
    </row>
    <row r="5" spans="1:9" x14ac:dyDescent="0.25">
      <c r="A5">
        <v>3</v>
      </c>
      <c r="B5" s="1" t="s">
        <v>17</v>
      </c>
      <c r="C5" s="7" t="s">
        <v>2</v>
      </c>
      <c r="D5" s="7" t="s">
        <v>3</v>
      </c>
      <c r="G5" s="8" t="s">
        <v>54</v>
      </c>
      <c r="H5" t="s">
        <v>63</v>
      </c>
    </row>
    <row r="6" spans="1:9" x14ac:dyDescent="0.25">
      <c r="A6">
        <v>4</v>
      </c>
      <c r="B6" s="1" t="s">
        <v>17</v>
      </c>
      <c r="D6" s="7" t="s">
        <v>3</v>
      </c>
      <c r="G6" s="12" t="s">
        <v>47</v>
      </c>
      <c r="H6" t="s">
        <v>64</v>
      </c>
    </row>
    <row r="7" spans="1:9" x14ac:dyDescent="0.25">
      <c r="A7">
        <f t="shared" ref="A7" si="1">A6+1</f>
        <v>5</v>
      </c>
      <c r="D7" s="7" t="s">
        <v>3</v>
      </c>
      <c r="G7" s="5" t="s">
        <v>88</v>
      </c>
      <c r="H7" t="s">
        <v>72</v>
      </c>
    </row>
    <row r="8" spans="1:9" x14ac:dyDescent="0.25">
      <c r="A8" t="e">
        <f>#REF!+1</f>
        <v>#REF!</v>
      </c>
      <c r="B8" s="1" t="s">
        <v>18</v>
      </c>
      <c r="D8" s="7" t="s">
        <v>4</v>
      </c>
      <c r="G8" s="3" t="s">
        <v>78</v>
      </c>
      <c r="H8" t="s">
        <v>65</v>
      </c>
    </row>
    <row r="9" spans="1:9" x14ac:dyDescent="0.25">
      <c r="A9">
        <v>6</v>
      </c>
      <c r="B9" s="1" t="s">
        <v>48</v>
      </c>
      <c r="D9" s="7" t="s">
        <v>75</v>
      </c>
      <c r="E9" s="7" t="s">
        <v>49</v>
      </c>
      <c r="G9" s="8" t="s">
        <v>52</v>
      </c>
    </row>
    <row r="10" spans="1:9" x14ac:dyDescent="0.25">
      <c r="A10">
        <v>7</v>
      </c>
      <c r="B10" s="1" t="s">
        <v>19</v>
      </c>
      <c r="D10" s="7" t="s">
        <v>5</v>
      </c>
      <c r="G10" s="2" t="s">
        <v>56</v>
      </c>
      <c r="H10" t="s">
        <v>66</v>
      </c>
    </row>
    <row r="11" spans="1:9" x14ac:dyDescent="0.25">
      <c r="A11">
        <f t="shared" ref="A11" si="2">A10+1</f>
        <v>8</v>
      </c>
      <c r="B11" s="1" t="s">
        <v>50</v>
      </c>
      <c r="E11" s="7" t="s">
        <v>49</v>
      </c>
      <c r="G11" s="9" t="s">
        <v>79</v>
      </c>
    </row>
    <row r="12" spans="1:9" x14ac:dyDescent="0.25">
      <c r="A12">
        <v>9</v>
      </c>
      <c r="B12" s="1" t="s">
        <v>21</v>
      </c>
      <c r="C12" s="7" t="s">
        <v>0</v>
      </c>
      <c r="D12" s="7" t="s">
        <v>9</v>
      </c>
      <c r="G12" s="2" t="s">
        <v>35</v>
      </c>
      <c r="H12" t="s">
        <v>69</v>
      </c>
    </row>
    <row r="13" spans="1:9" x14ac:dyDescent="0.25">
      <c r="A13">
        <v>10</v>
      </c>
      <c r="B13" s="1" t="s">
        <v>22</v>
      </c>
      <c r="D13" s="7" t="s">
        <v>10</v>
      </c>
      <c r="G13" s="2" t="s">
        <v>33</v>
      </c>
      <c r="H13" t="s">
        <v>70</v>
      </c>
    </row>
    <row r="14" spans="1:9" x14ac:dyDescent="0.25">
      <c r="A14">
        <f t="shared" ref="A14" si="3">A13+1</f>
        <v>11</v>
      </c>
      <c r="B14" s="1" t="s">
        <v>24</v>
      </c>
      <c r="E14" s="7" t="s">
        <v>6</v>
      </c>
      <c r="F14" s="7" t="s">
        <v>7</v>
      </c>
      <c r="G14" s="9" t="s">
        <v>80</v>
      </c>
    </row>
    <row r="15" spans="1:9" x14ac:dyDescent="0.25">
      <c r="A15">
        <v>11</v>
      </c>
      <c r="B15" s="1" t="s">
        <v>25</v>
      </c>
      <c r="E15" s="7" t="s">
        <v>11</v>
      </c>
      <c r="G15" s="8" t="s">
        <v>51</v>
      </c>
    </row>
    <row r="16" spans="1:9" x14ac:dyDescent="0.25">
      <c r="A16">
        <v>13</v>
      </c>
      <c r="B16" s="1" t="s">
        <v>37</v>
      </c>
      <c r="E16" s="7" t="s">
        <v>12</v>
      </c>
      <c r="F16" s="7" t="s">
        <v>36</v>
      </c>
      <c r="G16" s="6" t="s">
        <v>38</v>
      </c>
      <c r="H16" s="5"/>
      <c r="I16" s="7" t="s">
        <v>85</v>
      </c>
    </row>
    <row r="17" spans="1:9" x14ac:dyDescent="0.25">
      <c r="A17">
        <f t="shared" ref="A17" si="4">A16+1</f>
        <v>14</v>
      </c>
      <c r="B17" s="1" t="s">
        <v>26</v>
      </c>
      <c r="D17" s="7" t="s">
        <v>13</v>
      </c>
      <c r="E17" s="7" t="s">
        <v>73</v>
      </c>
      <c r="F17" s="7" t="s">
        <v>74</v>
      </c>
      <c r="G17" s="6" t="s">
        <v>32</v>
      </c>
      <c r="H17" s="4"/>
      <c r="I17" s="7" t="s">
        <v>86</v>
      </c>
    </row>
    <row r="18" spans="1:9" ht="15.75" customHeight="1" x14ac:dyDescent="0.25">
      <c r="A18" s="10" t="s">
        <v>68</v>
      </c>
      <c r="H18" s="2"/>
      <c r="I18" t="s">
        <v>84</v>
      </c>
    </row>
    <row r="19" spans="1:9" x14ac:dyDescent="0.25">
      <c r="A19" s="10" t="s">
        <v>39</v>
      </c>
    </row>
    <row r="20" spans="1:9" x14ac:dyDescent="0.25">
      <c r="A20">
        <f>A17+1</f>
        <v>15</v>
      </c>
      <c r="C20" s="7" t="s">
        <v>31</v>
      </c>
      <c r="G20" s="2" t="s">
        <v>30</v>
      </c>
      <c r="H20" t="s">
        <v>67</v>
      </c>
    </row>
    <row r="21" spans="1:9" x14ac:dyDescent="0.25">
      <c r="A21">
        <f>A20+1</f>
        <v>16</v>
      </c>
      <c r="C21" s="7" t="s">
        <v>31</v>
      </c>
      <c r="G21" s="2" t="s">
        <v>34</v>
      </c>
      <c r="H21" t="s">
        <v>67</v>
      </c>
    </row>
    <row r="22" spans="1:9" x14ac:dyDescent="0.25">
      <c r="A22">
        <f t="shared" ref="A22:A26" si="5">A21+1</f>
        <v>17</v>
      </c>
      <c r="C22" s="7" t="s">
        <v>31</v>
      </c>
      <c r="G22" s="2" t="s">
        <v>40</v>
      </c>
      <c r="H22" t="s">
        <v>67</v>
      </c>
    </row>
    <row r="23" spans="1:9" x14ac:dyDescent="0.25">
      <c r="A23">
        <f t="shared" si="5"/>
        <v>18</v>
      </c>
      <c r="C23" s="7" t="s">
        <v>45</v>
      </c>
      <c r="G23" s="2" t="s">
        <v>46</v>
      </c>
      <c r="H23" t="s">
        <v>67</v>
      </c>
    </row>
    <row r="24" spans="1:9" x14ac:dyDescent="0.25">
      <c r="A24">
        <f t="shared" si="5"/>
        <v>19</v>
      </c>
      <c r="C24" s="1" t="s">
        <v>57</v>
      </c>
      <c r="D24" s="7" t="s">
        <v>58</v>
      </c>
      <c r="G24" s="2" t="s">
        <v>59</v>
      </c>
      <c r="H24" s="7" t="s">
        <v>67</v>
      </c>
    </row>
    <row r="25" spans="1:9" x14ac:dyDescent="0.25">
      <c r="A25">
        <f t="shared" si="5"/>
        <v>20</v>
      </c>
      <c r="B25" s="1" t="s">
        <v>20</v>
      </c>
      <c r="D25" s="7" t="s">
        <v>8</v>
      </c>
      <c r="G25" s="2" t="s">
        <v>59</v>
      </c>
    </row>
    <row r="26" spans="1:9" x14ac:dyDescent="0.25">
      <c r="A26">
        <f t="shared" si="5"/>
        <v>21</v>
      </c>
      <c r="B26" s="1" t="s">
        <v>23</v>
      </c>
      <c r="F26" s="7" t="s">
        <v>76</v>
      </c>
      <c r="G26" s="5" t="s">
        <v>29</v>
      </c>
    </row>
    <row r="29" spans="1:9" x14ac:dyDescent="0.25">
      <c r="G29" t="s">
        <v>81</v>
      </c>
    </row>
    <row r="30" spans="1:9" x14ac:dyDescent="0.25">
      <c r="G30" t="s">
        <v>83</v>
      </c>
    </row>
    <row r="31" spans="1:9" x14ac:dyDescent="0.25">
      <c r="G31" s="6" t="s">
        <v>87</v>
      </c>
    </row>
  </sheetData>
  <mergeCells count="1">
    <mergeCell ref="A1:H1"/>
  </mergeCells>
  <pageMargins left="0.70866141732283472" right="0.70866141732283472" top="0.74803149606299213" bottom="0.74803149606299213" header="0.31496062992125984" footer="0.31496062992125984"/>
  <pageSetup paperSize="8" scale="62" fitToHeight="3" orientation="landscape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daniel.foster</dc:creator>
  <cp:lastModifiedBy>Dave Mear</cp:lastModifiedBy>
  <cp:lastPrinted>2012-08-16T09:11:52Z</cp:lastPrinted>
  <dcterms:created xsi:type="dcterms:W3CDTF">2012-07-10T14:42:14Z</dcterms:created>
  <dcterms:modified xsi:type="dcterms:W3CDTF">2012-08-24T15:54:48Z</dcterms:modified>
</cp:coreProperties>
</file>